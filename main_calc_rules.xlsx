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exandra/Downloads/"/>
    </mc:Choice>
  </mc:AlternateContent>
  <xr:revisionPtr revIDLastSave="0" documentId="13_ncr:1_{F8480A75-F58C-4048-9927-486F12D33000}" xr6:coauthVersionLast="47" xr6:coauthVersionMax="47" xr10:uidLastSave="{00000000-0000-0000-0000-000000000000}"/>
  <bookViews>
    <workbookView xWindow="740" yWindow="600" windowWidth="24640" windowHeight="15880" xr2:uid="{00000000-000D-0000-FFFF-FFFF00000000}"/>
  </bookViews>
  <sheets>
    <sheet name="ЛИТВА" sheetId="1" r:id="rId1"/>
    <sheet name="ГРУЗИЯ" sheetId="4" r:id="rId2"/>
    <sheet name="Китай" sheetId="5" r:id="rId3"/>
    <sheet name="Корея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4" i="6"/>
  <c r="B9" i="6" s="1"/>
  <c r="B17" i="6" s="1"/>
  <c r="C5" i="4"/>
  <c r="C12" i="4" s="1"/>
  <c r="C5" i="5"/>
  <c r="C6" i="5" s="1"/>
  <c r="C11" i="5" s="1"/>
  <c r="G5" i="4"/>
  <c r="G12" i="4" s="1"/>
  <c r="G13" i="4" s="1"/>
  <c r="G14" i="4" s="1"/>
  <c r="G22" i="4" l="1"/>
  <c r="C13" i="4"/>
  <c r="G23" i="4"/>
  <c r="G5" i="1"/>
  <c r="C5" i="1"/>
  <c r="C12" i="1" s="1"/>
  <c r="C14" i="4" l="1"/>
  <c r="C23" i="4" s="1"/>
  <c r="G22" i="1"/>
  <c r="C13" i="1"/>
  <c r="C14" i="1" l="1"/>
  <c r="C23" i="1" s="1"/>
  <c r="G13" i="1" l="1"/>
  <c r="G14" i="1" s="1"/>
  <c r="G23" i="1" s="1"/>
</calcChain>
</file>

<file path=xl/sharedStrings.xml><?xml version="1.0" encoding="utf-8"?>
<sst xmlns="http://schemas.openxmlformats.org/spreadsheetml/2006/main" count="158" uniqueCount="78">
  <si>
    <t xml:space="preserve">ИТОГО СУММА ПОКУПКИ </t>
  </si>
  <si>
    <t>Доставка с площадки аукциона в порт Клайпеда</t>
  </si>
  <si>
    <t xml:space="preserve">Стоянка в порту США </t>
  </si>
  <si>
    <t>Подготовка, погрузка и запоковка контейнера</t>
  </si>
  <si>
    <t>Цена стоимости растаможки расчитана по калькулятору  и является ориентировочной. Более точная стоимость будет расчитана на момент таможенного оформления авто.
Конечная стоимость не является офертой и может изменяться в связи с изменением коньюктуры цен посредников, участвующих в обеспечении доставки авто, а также возможножны дополнительные счета за размещение авто сверх установленных сроков на складах в Клайпеде (как правило, не более 200-300 евро)</t>
  </si>
  <si>
    <t>Таможеные сборы</t>
  </si>
  <si>
    <t>Утилизационный сбор</t>
  </si>
  <si>
    <t>1.4л</t>
  </si>
  <si>
    <t>1.5л</t>
  </si>
  <si>
    <t>1.6л</t>
  </si>
  <si>
    <t>1.8л</t>
  </si>
  <si>
    <t>2.0л</t>
  </si>
  <si>
    <t>2.3л</t>
  </si>
  <si>
    <t>2.4л</t>
  </si>
  <si>
    <t>2.5л</t>
  </si>
  <si>
    <t>3.0л</t>
  </si>
  <si>
    <t>3.5л</t>
  </si>
  <si>
    <t>3.6л</t>
  </si>
  <si>
    <t>Таможенный калькулятор (по 140у указу)</t>
  </si>
  <si>
    <t>Переделка документов</t>
  </si>
  <si>
    <t>АУКЦИОН</t>
  </si>
  <si>
    <t>ДОСТАВКА</t>
  </si>
  <si>
    <t>РАСХОДЫ ПО ПРИБЫТИЮ В КЛАЙПЕДУ</t>
  </si>
  <si>
    <t>ИТОГОВАЯ СТОИМОСТЬ АВТО БЕЗ РЕМОНТА</t>
  </si>
  <si>
    <t>ИТОГОВАЯ СТОИМОСТЬ МОТОЦИКЛА БЕЗ РЕМОНТА</t>
  </si>
  <si>
    <t>Стоимость лота</t>
  </si>
  <si>
    <t>Аукционный сбор</t>
  </si>
  <si>
    <t>Опасный груз(электрокары, гибриды)</t>
  </si>
  <si>
    <t>Сторедж контейнера в Литве</t>
  </si>
  <si>
    <t>Доставка авто в Минск</t>
  </si>
  <si>
    <t>ИТОГО СУММА ЗАТРАТ ДО ЛИТВЫ</t>
  </si>
  <si>
    <t>Доставка с площадки аукциона в порт Поти</t>
  </si>
  <si>
    <t>ТАМОЖЕННАЯ ЧИСТКА</t>
  </si>
  <si>
    <t>Комиссия за перевод 3.5%</t>
  </si>
  <si>
    <t>СТОИМОСТЬ АВТО В ЛИТВЕ (1й ВЗНОС)</t>
  </si>
  <si>
    <t>Экспедирование (разгрузка кон-ра, распломбировка, выгрузка авто)</t>
  </si>
  <si>
    <t>СТОИМОСТЬ МОТОЦИКЛА В ГРУЗИИ (1й ВЗНОС)</t>
  </si>
  <si>
    <t>Таможенный калькулятор</t>
  </si>
  <si>
    <t>Доставка в Минск</t>
  </si>
  <si>
    <t>Экспедирование (разгрузка кон-ра, распломбировка, выгрузка)</t>
  </si>
  <si>
    <t>ИТОГО СУММА ЗАТРАТ ДО ГРУЗИИ</t>
  </si>
  <si>
    <t>СТОИМОСТЬ АВТО В ГРУЗИИ (1й ВЗНОС)</t>
  </si>
  <si>
    <t>РАСХОДЫ ПО ПРИБЫТИЮ В ПОТИ</t>
  </si>
  <si>
    <t>Сторедж контейнера в Грузии</t>
  </si>
  <si>
    <t>СТОИМОСТЬ МОТОЦИКЛА В ЛИТВЕ (1й ВЗНОС)</t>
  </si>
  <si>
    <t>АВТО ЧЕРЕЗ ГРУЗИЮ</t>
  </si>
  <si>
    <t>МОТОЦИКЛ ЧЕРЕЗ ГРУЗИЮ</t>
  </si>
  <si>
    <t>АВТО ЧЕРЕЗ ЛИТВУ</t>
  </si>
  <si>
    <t>МОТОЦИКЛ ЧЕРЕЗ ЛИТВУ</t>
  </si>
  <si>
    <t>Евро</t>
  </si>
  <si>
    <t>Объем</t>
  </si>
  <si>
    <t>Китай</t>
  </si>
  <si>
    <t>Доставка авто до Минска</t>
  </si>
  <si>
    <t>Комиссия за перевод 35$+1.5%</t>
  </si>
  <si>
    <t>СТОИМОСТЬ АВТО В МИНСКЕ</t>
  </si>
  <si>
    <t>РАСХОДЫ ПО ПРИБЫТИЮ В МИНСК</t>
  </si>
  <si>
    <t>Расходы по таможне</t>
  </si>
  <si>
    <t>ЦЕНА АВТО В КИТАЕ</t>
  </si>
  <si>
    <t>Сторедж контейнера в Литве, справка дилера</t>
  </si>
  <si>
    <t>большие - 2300\2100</t>
  </si>
  <si>
    <t>Переделка документов(доставка документов к авто, закрытый штат)</t>
  </si>
  <si>
    <t>Переделка документов, закрытый штат, налог Канады</t>
  </si>
  <si>
    <t>Комиссия за перевод 3,5%</t>
  </si>
  <si>
    <t>Доставка с площадки аукциона в порт Клайпеда(море+суша)</t>
  </si>
  <si>
    <t>эл/гибр +200</t>
  </si>
  <si>
    <t>эл/гибр + 200</t>
  </si>
  <si>
    <t>Стоимость автомобиля</t>
  </si>
  <si>
    <t>Услуга экспортера, осмотр, выкуп, экспортные документы</t>
  </si>
  <si>
    <t>Декларант</t>
  </si>
  <si>
    <t>Оценка стоимости</t>
  </si>
  <si>
    <t>Стоянка СВХ (засчитываем до 7 дней)</t>
  </si>
  <si>
    <t>Доставка авто с Кореи во Владивосток(суша+паром+брокер)</t>
  </si>
  <si>
    <t>Доставка авто с Владивостока в Минск</t>
  </si>
  <si>
    <t>Комиссия при переводе</t>
  </si>
  <si>
    <t>СТОИМОСТЬ АВТО В МИНСКЕ ДО СВХ (1й ВЗНОС)</t>
  </si>
  <si>
    <t xml:space="preserve">ИТОГОВАЯ СТОИМОСТЬ АВТО </t>
  </si>
  <si>
    <t>380 евро старше трех лет</t>
  </si>
  <si>
    <t>190 евро до 3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</si>
</sst>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]#,##0"/>
    <numFmt numFmtId="165" formatCode="d\.m"/>
  </numFmts>
  <fonts count="13" x14ac:knownFonts="1">
    <font>
      <sz val="10"/>
      <color rgb="FF000000"/>
      <name val="Arial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8"/>
      <name val="Arial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5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FFFFFF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2" xfId="0" applyFont="1" applyFill="1" applyBorder="1" applyAlignment="1">
      <alignment vertical="center"/>
    </xf>
    <xf numFmtId="1" fontId="2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2" borderId="4" xfId="0" applyFont="1" applyFill="1" applyBorder="1"/>
    <xf numFmtId="16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6" fillId="2" borderId="6" xfId="0" applyFont="1" applyFill="1" applyBorder="1"/>
    <xf numFmtId="0" fontId="6" fillId="0" borderId="0" xfId="0" applyFont="1" applyAlignment="1">
      <alignment horizontal="right"/>
    </xf>
    <xf numFmtId="0" fontId="6" fillId="2" borderId="10" xfId="0" applyFont="1" applyFill="1" applyBorder="1"/>
    <xf numFmtId="0" fontId="6" fillId="2" borderId="15" xfId="0" applyFont="1" applyFill="1" applyBorder="1"/>
    <xf numFmtId="164" fontId="7" fillId="2" borderId="9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165" fontId="6" fillId="0" borderId="0" xfId="0" applyNumberFormat="1" applyFont="1"/>
    <xf numFmtId="0" fontId="6" fillId="2" borderId="4" xfId="0" applyFont="1" applyFill="1" applyBorder="1" applyAlignment="1">
      <alignment horizontal="left"/>
    </xf>
    <xf numFmtId="0" fontId="3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1" fontId="7" fillId="2" borderId="8" xfId="0" applyNumberFormat="1" applyFont="1" applyFill="1" applyBorder="1" applyAlignment="1">
      <alignment horizontal="center"/>
    </xf>
    <xf numFmtId="164" fontId="7" fillId="2" borderId="8" xfId="0" applyNumberFormat="1" applyFont="1" applyFill="1" applyBorder="1" applyAlignment="1">
      <alignment horizontal="center"/>
    </xf>
    <xf numFmtId="0" fontId="7" fillId="2" borderId="17" xfId="0" applyFont="1" applyFill="1" applyBorder="1" applyAlignment="1">
      <alignment horizontal="right"/>
    </xf>
    <xf numFmtId="0" fontId="3" fillId="0" borderId="0" xfId="0" applyFont="1"/>
    <xf numFmtId="0" fontId="3" fillId="2" borderId="4" xfId="0" applyFont="1" applyFill="1" applyBorder="1"/>
    <xf numFmtId="0" fontId="7" fillId="4" borderId="5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2" borderId="2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/>
    </xf>
    <xf numFmtId="164" fontId="7" fillId="5" borderId="9" xfId="0" applyNumberFormat="1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>
      <alignment horizontal="center" vertical="center"/>
    </xf>
    <xf numFmtId="164" fontId="7" fillId="4" borderId="9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1" fontId="7" fillId="2" borderId="9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 vertical="center"/>
    </xf>
    <xf numFmtId="1" fontId="8" fillId="5" borderId="12" xfId="0" applyNumberFormat="1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/>
    </xf>
    <xf numFmtId="3" fontId="8" fillId="5" borderId="1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6" xfId="0" applyFont="1" applyFill="1" applyBorder="1"/>
    <xf numFmtId="0" fontId="3" fillId="2" borderId="10" xfId="0" applyFont="1" applyFill="1" applyBorder="1"/>
    <xf numFmtId="0" fontId="3" fillId="2" borderId="15" xfId="0" applyFont="1" applyFill="1" applyBorder="1"/>
    <xf numFmtId="0" fontId="8" fillId="0" borderId="11" xfId="0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7" fillId="2" borderId="14" xfId="0" applyFont="1" applyFill="1" applyBorder="1" applyAlignment="1">
      <alignment horizontal="right"/>
    </xf>
    <xf numFmtId="0" fontId="7" fillId="2" borderId="20" xfId="0" applyFont="1" applyFill="1" applyBorder="1" applyAlignment="1">
      <alignment horizontal="center"/>
    </xf>
    <xf numFmtId="0" fontId="7" fillId="2" borderId="19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3" fontId="7" fillId="2" borderId="9" xfId="0" applyNumberFormat="1" applyFont="1" applyFill="1" applyBorder="1" applyAlignment="1">
      <alignment horizontal="center" vertical="center"/>
    </xf>
    <xf numFmtId="3" fontId="7" fillId="4" borderId="9" xfId="0" applyNumberFormat="1" applyFont="1" applyFill="1" applyBorder="1" applyAlignment="1">
      <alignment horizontal="center" vertical="center"/>
    </xf>
    <xf numFmtId="0" fontId="4" fillId="0" borderId="0" xfId="0" applyFont="1"/>
    <xf numFmtId="3" fontId="7" fillId="3" borderId="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2" fontId="6" fillId="0" borderId="0" xfId="0" applyNumberFormat="1" applyFont="1"/>
    <xf numFmtId="0" fontId="4" fillId="2" borderId="21" xfId="0" applyFont="1" applyFill="1" applyBorder="1" applyAlignment="1">
      <alignment horizontal="center" vertical="center"/>
    </xf>
    <xf numFmtId="1" fontId="7" fillId="2" borderId="24" xfId="0" applyNumberFormat="1" applyFont="1" applyFill="1" applyBorder="1" applyAlignment="1">
      <alignment horizontal="center"/>
    </xf>
    <xf numFmtId="1" fontId="7" fillId="2" borderId="23" xfId="0" applyNumberFormat="1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vertical="center"/>
    </xf>
    <xf numFmtId="1" fontId="7" fillId="4" borderId="25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vertical="center"/>
    </xf>
    <xf numFmtId="1" fontId="7" fillId="2" borderId="9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9" fillId="2" borderId="16" xfId="0" applyFont="1" applyFill="1" applyBorder="1" applyAlignment="1">
      <alignment horizontal="left" wrapText="1"/>
    </xf>
    <xf numFmtId="0" fontId="12" fillId="0" borderId="13" xfId="0" applyFont="1" applyBorder="1"/>
    <xf numFmtId="0" fontId="10" fillId="2" borderId="16" xfId="0" applyFont="1" applyFill="1" applyBorder="1" applyAlignment="1">
      <alignment horizontal="left" wrapText="1"/>
    </xf>
    <xf numFmtId="0" fontId="11" fillId="0" borderId="1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18816</xdr:rowOff>
    </xdr:from>
    <xdr:to>
      <xdr:col>2</xdr:col>
      <xdr:colOff>0</xdr:colOff>
      <xdr:row>20</xdr:row>
      <xdr:rowOff>158934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1265296-9552-2B4B-B307-E8A69020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84223"/>
          <a:ext cx="4967111" cy="761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1"/>
  <sheetViews>
    <sheetView tabSelected="1" zoomScale="120" zoomScaleNormal="120" workbookViewId="0">
      <selection activeCell="C4" sqref="C4"/>
    </sheetView>
  </sheetViews>
  <sheetFormatPr baseColWidth="10" defaultColWidth="12.6640625" defaultRowHeight="15.75" customHeight="1" x14ac:dyDescent="0.15"/>
  <cols>
    <col min="1" max="1" width="3.33203125" customWidth="1"/>
    <col min="2" max="2" width="58.33203125" customWidth="1"/>
    <col min="3" max="4" width="10" customWidth="1"/>
    <col min="5" max="5" width="11.1640625" customWidth="1"/>
    <col min="6" max="6" width="58.33203125" customWidth="1"/>
    <col min="7" max="7" width="10" customWidth="1"/>
    <col min="8" max="9" width="7.6640625" customWidth="1"/>
  </cols>
  <sheetData>
    <row r="1" spans="1:9" ht="20" customHeight="1" thickBot="1" x14ac:dyDescent="0.25">
      <c r="A1" s="1"/>
      <c r="B1" s="55" t="s">
        <v>47</v>
      </c>
      <c r="C1" s="6">
        <v>1.1399999999999999</v>
      </c>
      <c r="D1" s="6"/>
      <c r="E1" s="6"/>
      <c r="F1" s="58" t="s">
        <v>48</v>
      </c>
      <c r="G1" s="6">
        <v>1.1399999999999999</v>
      </c>
      <c r="H1" s="2"/>
      <c r="I1" s="2"/>
    </row>
    <row r="2" spans="1:9" ht="16" x14ac:dyDescent="0.2">
      <c r="A2" s="2"/>
      <c r="B2" s="50" t="s">
        <v>20</v>
      </c>
      <c r="C2" s="54"/>
      <c r="D2" s="61" t="s">
        <v>50</v>
      </c>
      <c r="E2" s="16" t="s">
        <v>49</v>
      </c>
      <c r="F2" s="50" t="s">
        <v>20</v>
      </c>
      <c r="G2" s="51"/>
      <c r="H2" s="2"/>
      <c r="I2" s="2"/>
    </row>
    <row r="3" spans="1:9" ht="16" x14ac:dyDescent="0.2">
      <c r="A3" s="2"/>
      <c r="B3" s="27" t="s">
        <v>25</v>
      </c>
      <c r="C3" s="28">
        <v>4600</v>
      </c>
      <c r="D3" s="8" t="s">
        <v>7</v>
      </c>
      <c r="E3" s="9">
        <v>1190</v>
      </c>
      <c r="F3" s="7" t="s">
        <v>25</v>
      </c>
      <c r="G3" s="28">
        <v>4000</v>
      </c>
      <c r="H3" s="2"/>
      <c r="I3" s="2"/>
    </row>
    <row r="4" spans="1:9" ht="16" customHeight="1" x14ac:dyDescent="0.2">
      <c r="A4" s="2"/>
      <c r="B4" s="10" t="s">
        <v>26</v>
      </c>
      <c r="C4" s="29">
        <v>850</v>
      </c>
      <c r="D4" s="11" t="s">
        <v>8</v>
      </c>
      <c r="E4" s="9">
        <v>1275</v>
      </c>
      <c r="F4" s="10" t="s">
        <v>26</v>
      </c>
      <c r="G4" s="29">
        <v>1000</v>
      </c>
      <c r="H4" s="2"/>
      <c r="I4" s="2"/>
    </row>
    <row r="5" spans="1:9" ht="16" customHeight="1" thickBot="1" x14ac:dyDescent="0.25">
      <c r="A5" s="2"/>
      <c r="B5" s="52" t="s">
        <v>0</v>
      </c>
      <c r="C5" s="53">
        <f>SUM(C3:C4)</f>
        <v>5450</v>
      </c>
      <c r="D5" s="11" t="s">
        <v>9</v>
      </c>
      <c r="E5" s="9">
        <v>2000</v>
      </c>
      <c r="F5" s="52" t="s">
        <v>0</v>
      </c>
      <c r="G5" s="53">
        <f>SUM(G3:G4)</f>
        <v>5000</v>
      </c>
      <c r="H5" s="2"/>
      <c r="I5" s="2"/>
    </row>
    <row r="6" spans="1:9" ht="16" x14ac:dyDescent="0.2">
      <c r="A6" s="2"/>
      <c r="B6" s="5" t="s">
        <v>21</v>
      </c>
      <c r="C6" s="30"/>
      <c r="D6" s="11" t="s">
        <v>10</v>
      </c>
      <c r="E6" s="9">
        <v>2250</v>
      </c>
      <c r="F6" s="43" t="s">
        <v>21</v>
      </c>
      <c r="G6" s="30"/>
      <c r="H6" s="2"/>
      <c r="I6" s="2"/>
    </row>
    <row r="7" spans="1:9" ht="16" x14ac:dyDescent="0.2">
      <c r="A7" s="2"/>
      <c r="B7" s="7" t="s">
        <v>63</v>
      </c>
      <c r="C7" s="31">
        <v>1800</v>
      </c>
      <c r="D7" s="11" t="s">
        <v>11</v>
      </c>
      <c r="E7" s="9">
        <v>2700</v>
      </c>
      <c r="F7" s="27" t="s">
        <v>1</v>
      </c>
      <c r="G7" s="31">
        <v>1480</v>
      </c>
      <c r="H7" s="2"/>
      <c r="I7" s="2"/>
    </row>
    <row r="8" spans="1:9" ht="16" x14ac:dyDescent="0.2">
      <c r="A8" s="2"/>
      <c r="B8" s="10" t="s">
        <v>2</v>
      </c>
      <c r="C8" s="35">
        <v>200</v>
      </c>
      <c r="D8" s="11" t="s">
        <v>12</v>
      </c>
      <c r="E8" s="9">
        <v>3105</v>
      </c>
      <c r="F8" s="44" t="s">
        <v>2</v>
      </c>
      <c r="G8" s="35">
        <v>200</v>
      </c>
      <c r="H8" s="2"/>
      <c r="I8" s="2"/>
    </row>
    <row r="9" spans="1:9" ht="16" x14ac:dyDescent="0.2">
      <c r="A9" s="2"/>
      <c r="B9" s="12" t="s">
        <v>3</v>
      </c>
      <c r="C9" s="35">
        <v>100</v>
      </c>
      <c r="D9" s="11" t="s">
        <v>13</v>
      </c>
      <c r="E9" s="9">
        <v>3600</v>
      </c>
      <c r="F9" s="45" t="s">
        <v>3</v>
      </c>
      <c r="G9" s="35">
        <v>100</v>
      </c>
      <c r="H9" s="2"/>
      <c r="I9" s="2"/>
    </row>
    <row r="10" spans="1:9" ht="16" x14ac:dyDescent="0.2">
      <c r="A10" s="2"/>
      <c r="B10" s="13" t="s">
        <v>61</v>
      </c>
      <c r="C10" s="35"/>
      <c r="D10" s="11" t="s">
        <v>14</v>
      </c>
      <c r="E10" s="9">
        <v>3750</v>
      </c>
      <c r="F10" s="46" t="s">
        <v>19</v>
      </c>
      <c r="G10" s="14"/>
      <c r="H10" s="2"/>
      <c r="I10" s="2"/>
    </row>
    <row r="11" spans="1:9" ht="16" x14ac:dyDescent="0.2">
      <c r="A11" s="2"/>
      <c r="B11" s="12" t="s">
        <v>27</v>
      </c>
      <c r="C11" s="35">
        <v>200</v>
      </c>
      <c r="D11" s="11" t="s">
        <v>15</v>
      </c>
      <c r="E11" s="9">
        <v>4500</v>
      </c>
      <c r="F11" s="45" t="s">
        <v>27</v>
      </c>
      <c r="G11" s="35"/>
      <c r="H11" s="2"/>
      <c r="I11" s="2"/>
    </row>
    <row r="12" spans="1:9" ht="16" x14ac:dyDescent="0.2">
      <c r="A12" s="2"/>
      <c r="B12" s="15" t="s">
        <v>33</v>
      </c>
      <c r="C12" s="36">
        <f>(SUM(C7:C11)+C5)*0.035+180</f>
        <v>451.25</v>
      </c>
      <c r="D12" s="11" t="s">
        <v>16</v>
      </c>
      <c r="E12" s="9">
        <v>6300</v>
      </c>
      <c r="F12" s="15" t="s">
        <v>33</v>
      </c>
      <c r="G12" s="36"/>
      <c r="H12" s="2"/>
      <c r="I12" s="2"/>
    </row>
    <row r="13" spans="1:9" ht="16" customHeight="1" thickBot="1" x14ac:dyDescent="0.25">
      <c r="A13" s="2"/>
      <c r="B13" s="25" t="s">
        <v>30</v>
      </c>
      <c r="C13" s="23">
        <f>SUM(C7:C12)</f>
        <v>2751.25</v>
      </c>
      <c r="D13" s="11" t="s">
        <v>17</v>
      </c>
      <c r="E13" s="9">
        <v>6480</v>
      </c>
      <c r="F13" s="25" t="s">
        <v>30</v>
      </c>
      <c r="G13" s="23">
        <f>SUM(G7:G12)</f>
        <v>1780</v>
      </c>
      <c r="H13" s="4"/>
      <c r="I13" s="2"/>
    </row>
    <row r="14" spans="1:9" ht="16" customHeight="1" thickBot="1" x14ac:dyDescent="0.25">
      <c r="A14" s="2"/>
      <c r="B14" s="37" t="s">
        <v>34</v>
      </c>
      <c r="C14" s="38">
        <f>C13+C5</f>
        <v>8201.25</v>
      </c>
      <c r="D14" s="16"/>
      <c r="E14" s="6"/>
      <c r="F14" s="47" t="s">
        <v>44</v>
      </c>
      <c r="G14" s="48">
        <f>G13+G5</f>
        <v>6780</v>
      </c>
      <c r="H14" s="4"/>
      <c r="I14" s="2"/>
    </row>
    <row r="15" spans="1:9" ht="16" x14ac:dyDescent="0.2">
      <c r="A15" s="2"/>
      <c r="B15" s="5" t="s">
        <v>22</v>
      </c>
      <c r="C15" s="3"/>
      <c r="D15" s="6"/>
      <c r="E15" s="26"/>
      <c r="F15" s="5" t="s">
        <v>22</v>
      </c>
      <c r="G15" s="3"/>
      <c r="H15" s="2"/>
      <c r="I15" s="2"/>
    </row>
    <row r="16" spans="1:9" ht="16" customHeight="1" x14ac:dyDescent="0.2">
      <c r="A16" s="2"/>
      <c r="B16" s="13" t="s">
        <v>35</v>
      </c>
      <c r="C16" s="14">
        <v>400</v>
      </c>
      <c r="D16" s="6"/>
      <c r="E16" s="17"/>
      <c r="F16" s="13" t="s">
        <v>39</v>
      </c>
      <c r="G16" s="14">
        <v>350</v>
      </c>
      <c r="H16" s="2"/>
      <c r="I16" s="2"/>
    </row>
    <row r="17" spans="1:9" ht="16" x14ac:dyDescent="0.2">
      <c r="A17" s="2"/>
      <c r="B17" s="18" t="s">
        <v>29</v>
      </c>
      <c r="C17" s="34">
        <v>700</v>
      </c>
      <c r="D17" s="6"/>
      <c r="E17" s="6"/>
      <c r="F17" s="18" t="s">
        <v>38</v>
      </c>
      <c r="G17" s="34">
        <v>350</v>
      </c>
      <c r="H17" s="2"/>
      <c r="I17" s="2"/>
    </row>
    <row r="18" spans="1:9" ht="16" x14ac:dyDescent="0.2">
      <c r="A18" s="2"/>
      <c r="B18" s="10" t="s">
        <v>58</v>
      </c>
      <c r="C18" s="33"/>
      <c r="D18" s="6" t="s">
        <v>64</v>
      </c>
      <c r="E18" s="6"/>
      <c r="F18" s="10" t="s">
        <v>28</v>
      </c>
      <c r="G18" s="33"/>
      <c r="H18" s="2"/>
      <c r="I18" s="2"/>
    </row>
    <row r="19" spans="1:9" ht="16" x14ac:dyDescent="0.2">
      <c r="A19" s="2"/>
      <c r="B19" s="42" t="s">
        <v>32</v>
      </c>
      <c r="C19" s="32"/>
      <c r="D19" s="6"/>
      <c r="E19" s="6"/>
      <c r="F19" s="42" t="s">
        <v>32</v>
      </c>
      <c r="G19" s="32"/>
      <c r="H19" s="2"/>
      <c r="I19" s="2"/>
    </row>
    <row r="20" spans="1:9" ht="16" customHeight="1" x14ac:dyDescent="0.2">
      <c r="A20" s="2"/>
      <c r="B20" s="20" t="s">
        <v>5</v>
      </c>
      <c r="C20" s="21">
        <v>40</v>
      </c>
      <c r="D20" s="6"/>
      <c r="E20" s="6"/>
      <c r="F20" s="10" t="s">
        <v>5</v>
      </c>
      <c r="G20" s="21">
        <v>40</v>
      </c>
      <c r="H20" s="2"/>
      <c r="I20" s="2"/>
    </row>
    <row r="21" spans="1:9" ht="16" x14ac:dyDescent="0.2">
      <c r="A21" s="2"/>
      <c r="B21" s="22" t="s">
        <v>6</v>
      </c>
      <c r="C21" s="21">
        <v>190</v>
      </c>
      <c r="D21" s="6" t="s">
        <v>76</v>
      </c>
      <c r="E21" s="6"/>
      <c r="F21" s="19" t="s">
        <v>6</v>
      </c>
      <c r="G21" s="21">
        <v>0</v>
      </c>
      <c r="H21" s="2"/>
      <c r="I21" s="2"/>
    </row>
    <row r="22" spans="1:9" ht="16" customHeight="1" thickBot="1" x14ac:dyDescent="0.25">
      <c r="A22" s="2"/>
      <c r="B22" s="41" t="s">
        <v>18</v>
      </c>
      <c r="C22" s="24">
        <v>1020</v>
      </c>
      <c r="D22" s="6" t="s">
        <v>77</v>
      </c>
      <c r="E22" s="6"/>
      <c r="F22" s="18" t="s">
        <v>37</v>
      </c>
      <c r="G22" s="34">
        <f>(G5)*0.1+(G5)*1.1*0.2</f>
        <v>1600</v>
      </c>
      <c r="H22" s="2"/>
      <c r="I22" s="2"/>
    </row>
    <row r="23" spans="1:9" ht="16" customHeight="1" thickBot="1" x14ac:dyDescent="0.25">
      <c r="A23" s="2"/>
      <c r="B23" s="39" t="s">
        <v>23</v>
      </c>
      <c r="C23" s="40">
        <f>C14+SUM(C16:C22)*C1</f>
        <v>10880.25</v>
      </c>
      <c r="D23" s="6"/>
      <c r="E23" s="6"/>
      <c r="F23" s="49" t="s">
        <v>24</v>
      </c>
      <c r="G23" s="40">
        <f>G14+SUM(G16:G22)*G1</f>
        <v>9447.6</v>
      </c>
      <c r="H23" s="2"/>
      <c r="I23" s="2"/>
    </row>
    <row r="24" spans="1:9" ht="90" customHeight="1" thickBot="1" x14ac:dyDescent="0.25">
      <c r="A24" s="2"/>
      <c r="B24" s="79" t="s">
        <v>4</v>
      </c>
      <c r="C24" s="80"/>
      <c r="D24" s="6"/>
      <c r="E24" s="6"/>
      <c r="F24" s="77" t="s">
        <v>4</v>
      </c>
      <c r="G24" s="78"/>
      <c r="H24" s="2"/>
      <c r="I24" s="2"/>
    </row>
    <row r="25" spans="1:9" ht="16" customHeight="1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ht="16" customHeight="1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ht="17" customHeight="1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ht="17" customHeight="1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ht="17" customHeight="1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ht="15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ht="15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ht="15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ht="15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ht="15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ht="15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ht="15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ht="15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ht="15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ht="15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ht="15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ht="15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ht="15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ht="15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ht="15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ht="15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ht="15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ht="15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ht="15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ht="15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ht="15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ht="15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ht="15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ht="15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ht="15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ht="15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ht="15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ht="15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ht="15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ht="15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ht="15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ht="15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ht="15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ht="15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ht="15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ht="15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ht="15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ht="15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ht="15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ht="15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ht="15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ht="15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ht="15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ht="15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ht="15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ht="15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ht="15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ht="15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ht="15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ht="15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ht="15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ht="15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ht="15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ht="15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ht="15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ht="15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ht="15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ht="15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ht="15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ht="15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ht="15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ht="15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ht="15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ht="15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5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ht="15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ht="15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ht="15" x14ac:dyDescent="0.2">
      <c r="A97" s="2"/>
      <c r="B97" s="2"/>
      <c r="C97" s="2"/>
      <c r="D97" s="2"/>
      <c r="E97" s="2"/>
      <c r="F97" s="2"/>
      <c r="G97" s="2"/>
      <c r="H97" s="2"/>
      <c r="I97" s="2"/>
    </row>
    <row r="98" spans="1:9" ht="15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ht="15" x14ac:dyDescent="0.2">
      <c r="A99" s="2"/>
      <c r="B99" s="2"/>
      <c r="C99" s="2"/>
      <c r="D99" s="2"/>
      <c r="E99" s="2"/>
      <c r="F99" s="2"/>
      <c r="G99" s="2"/>
      <c r="H99" s="2"/>
      <c r="I99" s="2"/>
    </row>
    <row r="100" spans="1:9" ht="15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5" x14ac:dyDescent="0.2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5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5" x14ac:dyDescent="0.2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5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5" x14ac:dyDescent="0.2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5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5" x14ac:dyDescent="0.2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5" x14ac:dyDescent="0.2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5" x14ac:dyDescent="0.2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5" x14ac:dyDescent="0.2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5" x14ac:dyDescent="0.2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5" x14ac:dyDescent="0.2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5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5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5" x14ac:dyDescent="0.2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5" x14ac:dyDescent="0.2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5" x14ac:dyDescent="0.2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5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5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5" x14ac:dyDescent="0.2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5" x14ac:dyDescent="0.2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5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5" x14ac:dyDescent="0.2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5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5" x14ac:dyDescent="0.2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5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5" x14ac:dyDescent="0.2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5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5" x14ac:dyDescent="0.2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5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5" x14ac:dyDescent="0.2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5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5" x14ac:dyDescent="0.2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5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5" x14ac:dyDescent="0.2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5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5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5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5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5" x14ac:dyDescent="0.2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5" x14ac:dyDescent="0.2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5" x14ac:dyDescent="0.2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5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5" x14ac:dyDescent="0.2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5" x14ac:dyDescent="0.2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5" x14ac:dyDescent="0.2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5" x14ac:dyDescent="0.2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5" x14ac:dyDescent="0.2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5" x14ac:dyDescent="0.2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5" x14ac:dyDescent="0.2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5" x14ac:dyDescent="0.2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5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5" x14ac:dyDescent="0.2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5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5" x14ac:dyDescent="0.2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5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5" x14ac:dyDescent="0.2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5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5" x14ac:dyDescent="0.2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5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5" x14ac:dyDescent="0.2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5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5" x14ac:dyDescent="0.2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5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5" x14ac:dyDescent="0.2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5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5" x14ac:dyDescent="0.2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5" x14ac:dyDescent="0.2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5" x14ac:dyDescent="0.2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5" x14ac:dyDescent="0.2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5" x14ac:dyDescent="0.2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5" x14ac:dyDescent="0.2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5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5" x14ac:dyDescent="0.2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5" x14ac:dyDescent="0.2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5" x14ac:dyDescent="0.2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5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5" x14ac:dyDescent="0.2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5" x14ac:dyDescent="0.2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5" x14ac:dyDescent="0.2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5" x14ac:dyDescent="0.2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5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5" x14ac:dyDescent="0.2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5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5" x14ac:dyDescent="0.2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5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5" x14ac:dyDescent="0.2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5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5" x14ac:dyDescent="0.2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5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5" x14ac:dyDescent="0.2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5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5" x14ac:dyDescent="0.2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5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5" x14ac:dyDescent="0.2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5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5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5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5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5" x14ac:dyDescent="0.2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5" x14ac:dyDescent="0.2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5" x14ac:dyDescent="0.2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5" x14ac:dyDescent="0.2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5" x14ac:dyDescent="0.2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5" x14ac:dyDescent="0.2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5" x14ac:dyDescent="0.2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5" x14ac:dyDescent="0.2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5" x14ac:dyDescent="0.2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5" x14ac:dyDescent="0.2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5" x14ac:dyDescent="0.2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5" x14ac:dyDescent="0.2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5" x14ac:dyDescent="0.2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5" x14ac:dyDescent="0.2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5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5" x14ac:dyDescent="0.2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5" x14ac:dyDescent="0.2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5" x14ac:dyDescent="0.2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5" x14ac:dyDescent="0.2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" x14ac:dyDescent="0.2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5" x14ac:dyDescent="0.2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5" x14ac:dyDescent="0.2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5" x14ac:dyDescent="0.2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5" x14ac:dyDescent="0.2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5" x14ac:dyDescent="0.2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5" x14ac:dyDescent="0.2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5" x14ac:dyDescent="0.2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5" x14ac:dyDescent="0.2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5" x14ac:dyDescent="0.2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5" x14ac:dyDescent="0.2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5" x14ac:dyDescent="0.2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5" x14ac:dyDescent="0.2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5" x14ac:dyDescent="0.2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5" x14ac:dyDescent="0.2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" x14ac:dyDescent="0.2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" x14ac:dyDescent="0.2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5" x14ac:dyDescent="0.2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" x14ac:dyDescent="0.2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5" x14ac:dyDescent="0.2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5" x14ac:dyDescent="0.2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5" x14ac:dyDescent="0.2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5" x14ac:dyDescent="0.2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5" x14ac:dyDescent="0.2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5" x14ac:dyDescent="0.2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5" x14ac:dyDescent="0.2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5" x14ac:dyDescent="0.2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5" x14ac:dyDescent="0.2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5" x14ac:dyDescent="0.2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5" x14ac:dyDescent="0.2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5" x14ac:dyDescent="0.2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5" x14ac:dyDescent="0.2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5" x14ac:dyDescent="0.2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" x14ac:dyDescent="0.2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" x14ac:dyDescent="0.2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" x14ac:dyDescent="0.2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" x14ac:dyDescent="0.2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" x14ac:dyDescent="0.2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" x14ac:dyDescent="0.2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" x14ac:dyDescent="0.2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" x14ac:dyDescent="0.2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" x14ac:dyDescent="0.2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" x14ac:dyDescent="0.2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" x14ac:dyDescent="0.2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" x14ac:dyDescent="0.2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" x14ac:dyDescent="0.2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" x14ac:dyDescent="0.2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" x14ac:dyDescent="0.2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" x14ac:dyDescent="0.2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" x14ac:dyDescent="0.2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" x14ac:dyDescent="0.2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" x14ac:dyDescent="0.2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" x14ac:dyDescent="0.2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" x14ac:dyDescent="0.2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" x14ac:dyDescent="0.2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" x14ac:dyDescent="0.2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" x14ac:dyDescent="0.2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" x14ac:dyDescent="0.2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" x14ac:dyDescent="0.2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" x14ac:dyDescent="0.2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" x14ac:dyDescent="0.2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" x14ac:dyDescent="0.2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" x14ac:dyDescent="0.2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" x14ac:dyDescent="0.2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" x14ac:dyDescent="0.2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" x14ac:dyDescent="0.2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" x14ac:dyDescent="0.2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" x14ac:dyDescent="0.2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" x14ac:dyDescent="0.2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" x14ac:dyDescent="0.2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" x14ac:dyDescent="0.2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" x14ac:dyDescent="0.2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" x14ac:dyDescent="0.2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" x14ac:dyDescent="0.2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" x14ac:dyDescent="0.2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" x14ac:dyDescent="0.2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" x14ac:dyDescent="0.2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" x14ac:dyDescent="0.2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" x14ac:dyDescent="0.2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" x14ac:dyDescent="0.2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" x14ac:dyDescent="0.2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" x14ac:dyDescent="0.2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" x14ac:dyDescent="0.2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" x14ac:dyDescent="0.2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" x14ac:dyDescent="0.2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" x14ac:dyDescent="0.2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x14ac:dyDescent="0.2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x14ac:dyDescent="0.2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x14ac:dyDescent="0.2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x14ac:dyDescent="0.2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x14ac:dyDescent="0.2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x14ac:dyDescent="0.2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x14ac:dyDescent="0.2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x14ac:dyDescent="0.2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x14ac:dyDescent="0.2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x14ac:dyDescent="0.2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x14ac:dyDescent="0.2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x14ac:dyDescent="0.2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x14ac:dyDescent="0.2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x14ac:dyDescent="0.2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x14ac:dyDescent="0.2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x14ac:dyDescent="0.2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x14ac:dyDescent="0.2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x14ac:dyDescent="0.2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x14ac:dyDescent="0.2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x14ac:dyDescent="0.2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x14ac:dyDescent="0.2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x14ac:dyDescent="0.2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x14ac:dyDescent="0.2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x14ac:dyDescent="0.2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x14ac:dyDescent="0.2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x14ac:dyDescent="0.2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x14ac:dyDescent="0.2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x14ac:dyDescent="0.2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x14ac:dyDescent="0.2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x14ac:dyDescent="0.2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x14ac:dyDescent="0.2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x14ac:dyDescent="0.2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x14ac:dyDescent="0.2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x14ac:dyDescent="0.2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x14ac:dyDescent="0.2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x14ac:dyDescent="0.2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x14ac:dyDescent="0.2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x14ac:dyDescent="0.2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x14ac:dyDescent="0.2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x14ac:dyDescent="0.2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x14ac:dyDescent="0.2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x14ac:dyDescent="0.2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x14ac:dyDescent="0.2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x14ac:dyDescent="0.2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x14ac:dyDescent="0.2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x14ac:dyDescent="0.2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x14ac:dyDescent="0.2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x14ac:dyDescent="0.2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x14ac:dyDescent="0.2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x14ac:dyDescent="0.2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x14ac:dyDescent="0.2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x14ac:dyDescent="0.2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x14ac:dyDescent="0.2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x14ac:dyDescent="0.2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x14ac:dyDescent="0.2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x14ac:dyDescent="0.2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x14ac:dyDescent="0.2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x14ac:dyDescent="0.2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x14ac:dyDescent="0.2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x14ac:dyDescent="0.2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x14ac:dyDescent="0.2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x14ac:dyDescent="0.2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x14ac:dyDescent="0.2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x14ac:dyDescent="0.2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x14ac:dyDescent="0.2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x14ac:dyDescent="0.2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x14ac:dyDescent="0.2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x14ac:dyDescent="0.2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x14ac:dyDescent="0.2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x14ac:dyDescent="0.2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x14ac:dyDescent="0.2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x14ac:dyDescent="0.2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x14ac:dyDescent="0.2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x14ac:dyDescent="0.2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x14ac:dyDescent="0.2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x14ac:dyDescent="0.2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x14ac:dyDescent="0.2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x14ac:dyDescent="0.2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x14ac:dyDescent="0.2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x14ac:dyDescent="0.2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x14ac:dyDescent="0.2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x14ac:dyDescent="0.2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x14ac:dyDescent="0.2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x14ac:dyDescent="0.2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x14ac:dyDescent="0.2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x14ac:dyDescent="0.2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x14ac:dyDescent="0.2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x14ac:dyDescent="0.2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x14ac:dyDescent="0.2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x14ac:dyDescent="0.2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x14ac:dyDescent="0.2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x14ac:dyDescent="0.2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x14ac:dyDescent="0.2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x14ac:dyDescent="0.2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x14ac:dyDescent="0.2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x14ac:dyDescent="0.2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x14ac:dyDescent="0.2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x14ac:dyDescent="0.2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x14ac:dyDescent="0.2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x14ac:dyDescent="0.2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x14ac:dyDescent="0.2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x14ac:dyDescent="0.2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x14ac:dyDescent="0.2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x14ac:dyDescent="0.2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x14ac:dyDescent="0.2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x14ac:dyDescent="0.2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x14ac:dyDescent="0.2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x14ac:dyDescent="0.2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x14ac:dyDescent="0.2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x14ac:dyDescent="0.2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x14ac:dyDescent="0.2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x14ac:dyDescent="0.2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x14ac:dyDescent="0.2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x14ac:dyDescent="0.2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x14ac:dyDescent="0.2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x14ac:dyDescent="0.2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x14ac:dyDescent="0.2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x14ac:dyDescent="0.2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x14ac:dyDescent="0.2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x14ac:dyDescent="0.2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x14ac:dyDescent="0.2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x14ac:dyDescent="0.2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x14ac:dyDescent="0.2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x14ac:dyDescent="0.2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x14ac:dyDescent="0.2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x14ac:dyDescent="0.2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x14ac:dyDescent="0.2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x14ac:dyDescent="0.2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x14ac:dyDescent="0.2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x14ac:dyDescent="0.2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x14ac:dyDescent="0.2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x14ac:dyDescent="0.2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x14ac:dyDescent="0.2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x14ac:dyDescent="0.2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x14ac:dyDescent="0.2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x14ac:dyDescent="0.2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x14ac:dyDescent="0.2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x14ac:dyDescent="0.2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x14ac:dyDescent="0.2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x14ac:dyDescent="0.2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x14ac:dyDescent="0.2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x14ac:dyDescent="0.2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x14ac:dyDescent="0.2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x14ac:dyDescent="0.2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x14ac:dyDescent="0.2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x14ac:dyDescent="0.2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x14ac:dyDescent="0.2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x14ac:dyDescent="0.2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x14ac:dyDescent="0.2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x14ac:dyDescent="0.2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x14ac:dyDescent="0.2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x14ac:dyDescent="0.2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x14ac:dyDescent="0.2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x14ac:dyDescent="0.2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x14ac:dyDescent="0.2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x14ac:dyDescent="0.2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x14ac:dyDescent="0.2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x14ac:dyDescent="0.2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x14ac:dyDescent="0.2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x14ac:dyDescent="0.2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x14ac:dyDescent="0.2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x14ac:dyDescent="0.2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x14ac:dyDescent="0.2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x14ac:dyDescent="0.2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x14ac:dyDescent="0.2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x14ac:dyDescent="0.2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x14ac:dyDescent="0.2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x14ac:dyDescent="0.2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x14ac:dyDescent="0.2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x14ac:dyDescent="0.2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x14ac:dyDescent="0.2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x14ac:dyDescent="0.2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x14ac:dyDescent="0.2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x14ac:dyDescent="0.2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x14ac:dyDescent="0.2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x14ac:dyDescent="0.2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x14ac:dyDescent="0.2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x14ac:dyDescent="0.2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x14ac:dyDescent="0.2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x14ac:dyDescent="0.2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x14ac:dyDescent="0.2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x14ac:dyDescent="0.2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x14ac:dyDescent="0.2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x14ac:dyDescent="0.2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x14ac:dyDescent="0.2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x14ac:dyDescent="0.2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x14ac:dyDescent="0.2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x14ac:dyDescent="0.2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x14ac:dyDescent="0.2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x14ac:dyDescent="0.2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x14ac:dyDescent="0.2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x14ac:dyDescent="0.2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x14ac:dyDescent="0.2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x14ac:dyDescent="0.2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x14ac:dyDescent="0.2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x14ac:dyDescent="0.2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x14ac:dyDescent="0.2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x14ac:dyDescent="0.2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x14ac:dyDescent="0.2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x14ac:dyDescent="0.2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x14ac:dyDescent="0.2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x14ac:dyDescent="0.2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x14ac:dyDescent="0.2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x14ac:dyDescent="0.2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x14ac:dyDescent="0.2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x14ac:dyDescent="0.2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x14ac:dyDescent="0.2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x14ac:dyDescent="0.2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x14ac:dyDescent="0.2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x14ac:dyDescent="0.2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x14ac:dyDescent="0.2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x14ac:dyDescent="0.2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x14ac:dyDescent="0.2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x14ac:dyDescent="0.2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x14ac:dyDescent="0.2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x14ac:dyDescent="0.2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x14ac:dyDescent="0.2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x14ac:dyDescent="0.2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x14ac:dyDescent="0.2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x14ac:dyDescent="0.2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x14ac:dyDescent="0.2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x14ac:dyDescent="0.2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x14ac:dyDescent="0.2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x14ac:dyDescent="0.2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x14ac:dyDescent="0.2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x14ac:dyDescent="0.2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x14ac:dyDescent="0.2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x14ac:dyDescent="0.2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x14ac:dyDescent="0.2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x14ac:dyDescent="0.2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x14ac:dyDescent="0.2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x14ac:dyDescent="0.2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x14ac:dyDescent="0.2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x14ac:dyDescent="0.2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x14ac:dyDescent="0.2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x14ac:dyDescent="0.2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x14ac:dyDescent="0.2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x14ac:dyDescent="0.2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x14ac:dyDescent="0.2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x14ac:dyDescent="0.2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x14ac:dyDescent="0.2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x14ac:dyDescent="0.2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x14ac:dyDescent="0.2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x14ac:dyDescent="0.2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x14ac:dyDescent="0.2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x14ac:dyDescent="0.2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x14ac:dyDescent="0.2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x14ac:dyDescent="0.2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x14ac:dyDescent="0.2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x14ac:dyDescent="0.2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x14ac:dyDescent="0.2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x14ac:dyDescent="0.2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x14ac:dyDescent="0.2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x14ac:dyDescent="0.2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x14ac:dyDescent="0.2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x14ac:dyDescent="0.2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x14ac:dyDescent="0.2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x14ac:dyDescent="0.2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x14ac:dyDescent="0.2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x14ac:dyDescent="0.2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x14ac:dyDescent="0.2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x14ac:dyDescent="0.2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x14ac:dyDescent="0.2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x14ac:dyDescent="0.2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x14ac:dyDescent="0.2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x14ac:dyDescent="0.2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x14ac:dyDescent="0.2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x14ac:dyDescent="0.2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x14ac:dyDescent="0.2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x14ac:dyDescent="0.2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x14ac:dyDescent="0.2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x14ac:dyDescent="0.2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x14ac:dyDescent="0.2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x14ac:dyDescent="0.2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x14ac:dyDescent="0.2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x14ac:dyDescent="0.2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x14ac:dyDescent="0.2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x14ac:dyDescent="0.2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x14ac:dyDescent="0.2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x14ac:dyDescent="0.2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x14ac:dyDescent="0.2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x14ac:dyDescent="0.2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x14ac:dyDescent="0.2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x14ac:dyDescent="0.2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x14ac:dyDescent="0.2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x14ac:dyDescent="0.2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x14ac:dyDescent="0.2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x14ac:dyDescent="0.2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x14ac:dyDescent="0.2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x14ac:dyDescent="0.2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x14ac:dyDescent="0.2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x14ac:dyDescent="0.2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x14ac:dyDescent="0.2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x14ac:dyDescent="0.2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x14ac:dyDescent="0.2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x14ac:dyDescent="0.2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x14ac:dyDescent="0.2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x14ac:dyDescent="0.2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x14ac:dyDescent="0.2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x14ac:dyDescent="0.2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x14ac:dyDescent="0.2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x14ac:dyDescent="0.2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x14ac:dyDescent="0.2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x14ac:dyDescent="0.2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x14ac:dyDescent="0.2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x14ac:dyDescent="0.2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x14ac:dyDescent="0.2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x14ac:dyDescent="0.2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x14ac:dyDescent="0.2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x14ac:dyDescent="0.2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x14ac:dyDescent="0.2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x14ac:dyDescent="0.2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x14ac:dyDescent="0.2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x14ac:dyDescent="0.2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x14ac:dyDescent="0.2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x14ac:dyDescent="0.2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x14ac:dyDescent="0.2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x14ac:dyDescent="0.2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x14ac:dyDescent="0.2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x14ac:dyDescent="0.2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x14ac:dyDescent="0.2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x14ac:dyDescent="0.2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x14ac:dyDescent="0.2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x14ac:dyDescent="0.2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x14ac:dyDescent="0.2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x14ac:dyDescent="0.2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x14ac:dyDescent="0.2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x14ac:dyDescent="0.2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x14ac:dyDescent="0.2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x14ac:dyDescent="0.2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x14ac:dyDescent="0.2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x14ac:dyDescent="0.2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x14ac:dyDescent="0.2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x14ac:dyDescent="0.2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x14ac:dyDescent="0.2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x14ac:dyDescent="0.2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x14ac:dyDescent="0.2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x14ac:dyDescent="0.2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x14ac:dyDescent="0.2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x14ac:dyDescent="0.2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x14ac:dyDescent="0.2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x14ac:dyDescent="0.2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x14ac:dyDescent="0.2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x14ac:dyDescent="0.2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x14ac:dyDescent="0.2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x14ac:dyDescent="0.2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x14ac:dyDescent="0.2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x14ac:dyDescent="0.2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x14ac:dyDescent="0.2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x14ac:dyDescent="0.2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x14ac:dyDescent="0.2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x14ac:dyDescent="0.2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x14ac:dyDescent="0.2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x14ac:dyDescent="0.2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x14ac:dyDescent="0.2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x14ac:dyDescent="0.2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x14ac:dyDescent="0.2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x14ac:dyDescent="0.2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x14ac:dyDescent="0.2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x14ac:dyDescent="0.2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x14ac:dyDescent="0.2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x14ac:dyDescent="0.2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x14ac:dyDescent="0.2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x14ac:dyDescent="0.2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x14ac:dyDescent="0.2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x14ac:dyDescent="0.2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x14ac:dyDescent="0.2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x14ac:dyDescent="0.2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x14ac:dyDescent="0.2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x14ac:dyDescent="0.2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x14ac:dyDescent="0.2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x14ac:dyDescent="0.2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x14ac:dyDescent="0.2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x14ac:dyDescent="0.2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x14ac:dyDescent="0.2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x14ac:dyDescent="0.2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x14ac:dyDescent="0.2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x14ac:dyDescent="0.2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x14ac:dyDescent="0.2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x14ac:dyDescent="0.2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x14ac:dyDescent="0.2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x14ac:dyDescent="0.2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x14ac:dyDescent="0.2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x14ac:dyDescent="0.2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x14ac:dyDescent="0.2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x14ac:dyDescent="0.2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x14ac:dyDescent="0.2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x14ac:dyDescent="0.2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x14ac:dyDescent="0.2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x14ac:dyDescent="0.2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x14ac:dyDescent="0.2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x14ac:dyDescent="0.2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x14ac:dyDescent="0.2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x14ac:dyDescent="0.2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x14ac:dyDescent="0.2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x14ac:dyDescent="0.2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x14ac:dyDescent="0.2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x14ac:dyDescent="0.2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x14ac:dyDescent="0.2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x14ac:dyDescent="0.2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x14ac:dyDescent="0.2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x14ac:dyDescent="0.2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x14ac:dyDescent="0.2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x14ac:dyDescent="0.2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x14ac:dyDescent="0.2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x14ac:dyDescent="0.2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x14ac:dyDescent="0.2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x14ac:dyDescent="0.2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x14ac:dyDescent="0.2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x14ac:dyDescent="0.2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x14ac:dyDescent="0.2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x14ac:dyDescent="0.2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x14ac:dyDescent="0.2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x14ac:dyDescent="0.2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x14ac:dyDescent="0.2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x14ac:dyDescent="0.2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x14ac:dyDescent="0.2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x14ac:dyDescent="0.2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x14ac:dyDescent="0.2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x14ac:dyDescent="0.2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x14ac:dyDescent="0.2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x14ac:dyDescent="0.2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x14ac:dyDescent="0.2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x14ac:dyDescent="0.2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x14ac:dyDescent="0.2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x14ac:dyDescent="0.2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x14ac:dyDescent="0.2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x14ac:dyDescent="0.2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x14ac:dyDescent="0.2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x14ac:dyDescent="0.2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x14ac:dyDescent="0.2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x14ac:dyDescent="0.2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x14ac:dyDescent="0.2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x14ac:dyDescent="0.2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x14ac:dyDescent="0.2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x14ac:dyDescent="0.2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x14ac:dyDescent="0.2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x14ac:dyDescent="0.2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x14ac:dyDescent="0.2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x14ac:dyDescent="0.2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x14ac:dyDescent="0.2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x14ac:dyDescent="0.2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x14ac:dyDescent="0.2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x14ac:dyDescent="0.2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x14ac:dyDescent="0.2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x14ac:dyDescent="0.2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x14ac:dyDescent="0.2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x14ac:dyDescent="0.2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x14ac:dyDescent="0.2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x14ac:dyDescent="0.2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x14ac:dyDescent="0.2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x14ac:dyDescent="0.2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x14ac:dyDescent="0.2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x14ac:dyDescent="0.2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x14ac:dyDescent="0.2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x14ac:dyDescent="0.2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x14ac:dyDescent="0.2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x14ac:dyDescent="0.2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x14ac:dyDescent="0.2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x14ac:dyDescent="0.2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x14ac:dyDescent="0.2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x14ac:dyDescent="0.2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x14ac:dyDescent="0.2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x14ac:dyDescent="0.2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x14ac:dyDescent="0.2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x14ac:dyDescent="0.2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x14ac:dyDescent="0.2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x14ac:dyDescent="0.2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x14ac:dyDescent="0.2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x14ac:dyDescent="0.2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x14ac:dyDescent="0.2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x14ac:dyDescent="0.2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x14ac:dyDescent="0.2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x14ac:dyDescent="0.2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x14ac:dyDescent="0.2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x14ac:dyDescent="0.2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x14ac:dyDescent="0.2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x14ac:dyDescent="0.2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x14ac:dyDescent="0.2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x14ac:dyDescent="0.2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x14ac:dyDescent="0.2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x14ac:dyDescent="0.2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x14ac:dyDescent="0.2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x14ac:dyDescent="0.2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x14ac:dyDescent="0.2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x14ac:dyDescent="0.2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x14ac:dyDescent="0.2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x14ac:dyDescent="0.2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x14ac:dyDescent="0.2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x14ac:dyDescent="0.2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x14ac:dyDescent="0.2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x14ac:dyDescent="0.2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x14ac:dyDescent="0.2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x14ac:dyDescent="0.2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x14ac:dyDescent="0.2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x14ac:dyDescent="0.2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x14ac:dyDescent="0.2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x14ac:dyDescent="0.2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x14ac:dyDescent="0.2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x14ac:dyDescent="0.2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x14ac:dyDescent="0.2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x14ac:dyDescent="0.2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x14ac:dyDescent="0.2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x14ac:dyDescent="0.2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x14ac:dyDescent="0.2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x14ac:dyDescent="0.2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x14ac:dyDescent="0.2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x14ac:dyDescent="0.2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x14ac:dyDescent="0.2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x14ac:dyDescent="0.2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x14ac:dyDescent="0.2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x14ac:dyDescent="0.2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x14ac:dyDescent="0.2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x14ac:dyDescent="0.2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x14ac:dyDescent="0.2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x14ac:dyDescent="0.2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x14ac:dyDescent="0.2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x14ac:dyDescent="0.2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x14ac:dyDescent="0.2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x14ac:dyDescent="0.2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x14ac:dyDescent="0.2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x14ac:dyDescent="0.2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x14ac:dyDescent="0.2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x14ac:dyDescent="0.2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x14ac:dyDescent="0.2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x14ac:dyDescent="0.2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x14ac:dyDescent="0.2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x14ac:dyDescent="0.2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x14ac:dyDescent="0.2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x14ac:dyDescent="0.2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x14ac:dyDescent="0.2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x14ac:dyDescent="0.2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x14ac:dyDescent="0.2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x14ac:dyDescent="0.2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x14ac:dyDescent="0.2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x14ac:dyDescent="0.2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x14ac:dyDescent="0.2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x14ac:dyDescent="0.2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x14ac:dyDescent="0.2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x14ac:dyDescent="0.2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x14ac:dyDescent="0.2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x14ac:dyDescent="0.2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x14ac:dyDescent="0.2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x14ac:dyDescent="0.2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x14ac:dyDescent="0.2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x14ac:dyDescent="0.2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x14ac:dyDescent="0.2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x14ac:dyDescent="0.2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x14ac:dyDescent="0.2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x14ac:dyDescent="0.2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x14ac:dyDescent="0.2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x14ac:dyDescent="0.2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x14ac:dyDescent="0.2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x14ac:dyDescent="0.2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x14ac:dyDescent="0.2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x14ac:dyDescent="0.2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x14ac:dyDescent="0.2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x14ac:dyDescent="0.2">
      <c r="A931" s="2"/>
      <c r="B931" s="2"/>
      <c r="C931" s="2"/>
      <c r="D931" s="2"/>
      <c r="E931" s="2"/>
      <c r="F931" s="2"/>
      <c r="G931" s="2"/>
      <c r="H931" s="2"/>
      <c r="I931" s="2"/>
    </row>
  </sheetData>
  <mergeCells count="2">
    <mergeCell ref="F24:G24"/>
    <mergeCell ref="B24:C24"/>
  </mergeCells>
  <phoneticPr fontId="5" type="noConversion"/>
  <printOptions horizontalCentered="1" verticalCentered="1"/>
  <pageMargins left="0.7" right="0.7" top="0.75" bottom="0.75" header="0" footer="0"/>
  <pageSetup paperSize="9" scale="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8F1C-973F-764C-8482-6E0F316627B8}">
  <dimension ref="A1:K25"/>
  <sheetViews>
    <sheetView zoomScale="120" zoomScaleNormal="120" workbookViewId="0">
      <selection activeCell="D4" sqref="D4"/>
    </sheetView>
  </sheetViews>
  <sheetFormatPr baseColWidth="10" defaultRowHeight="13" x14ac:dyDescent="0.15"/>
  <cols>
    <col min="1" max="1" width="3.33203125" customWidth="1"/>
    <col min="2" max="2" width="58.33203125" customWidth="1"/>
    <col min="3" max="3" width="10" customWidth="1"/>
    <col min="6" max="6" width="58.33203125" customWidth="1"/>
    <col min="7" max="7" width="10" customWidth="1"/>
  </cols>
  <sheetData>
    <row r="1" spans="1:11" ht="20" customHeight="1" thickBot="1" x14ac:dyDescent="0.25">
      <c r="A1" s="2"/>
      <c r="B1" s="60" t="s">
        <v>45</v>
      </c>
      <c r="C1" s="62">
        <v>1.1399999999999999</v>
      </c>
      <c r="D1" s="6"/>
      <c r="E1" s="6"/>
      <c r="F1" s="58" t="s">
        <v>46</v>
      </c>
      <c r="G1" s="6">
        <v>1.1399999999999999</v>
      </c>
      <c r="H1" s="2"/>
      <c r="I1" s="2"/>
      <c r="J1" s="2"/>
      <c r="K1" s="2"/>
    </row>
    <row r="2" spans="1:11" ht="16" x14ac:dyDescent="0.2">
      <c r="A2" s="2"/>
      <c r="B2" s="50" t="s">
        <v>20</v>
      </c>
      <c r="C2" s="54"/>
      <c r="D2" s="61" t="s">
        <v>50</v>
      </c>
      <c r="E2" s="16" t="s">
        <v>49</v>
      </c>
      <c r="F2" s="50" t="s">
        <v>20</v>
      </c>
      <c r="G2" s="51"/>
      <c r="H2" s="2"/>
      <c r="I2" s="2"/>
      <c r="J2" s="2"/>
      <c r="K2" s="2"/>
    </row>
    <row r="3" spans="1:11" ht="16" x14ac:dyDescent="0.2">
      <c r="A3" s="2"/>
      <c r="B3" s="27" t="s">
        <v>25</v>
      </c>
      <c r="C3" s="28">
        <v>8200</v>
      </c>
      <c r="D3" s="8" t="s">
        <v>7</v>
      </c>
      <c r="E3" s="9">
        <v>1190</v>
      </c>
      <c r="F3" s="7" t="s">
        <v>25</v>
      </c>
      <c r="G3" s="28">
        <v>4000</v>
      </c>
      <c r="H3" s="2"/>
      <c r="I3" s="2"/>
      <c r="J3" s="2"/>
      <c r="K3" s="2"/>
    </row>
    <row r="4" spans="1:11" ht="16" x14ac:dyDescent="0.2">
      <c r="A4" s="2"/>
      <c r="B4" s="10" t="s">
        <v>26</v>
      </c>
      <c r="C4" s="29">
        <v>1029</v>
      </c>
      <c r="D4" s="11" t="s">
        <v>8</v>
      </c>
      <c r="E4" s="9">
        <v>1275</v>
      </c>
      <c r="F4" s="10" t="s">
        <v>26</v>
      </c>
      <c r="G4" s="29">
        <v>1100</v>
      </c>
      <c r="H4" s="2"/>
      <c r="I4" s="2"/>
      <c r="J4" s="2"/>
      <c r="K4" s="2"/>
    </row>
    <row r="5" spans="1:11" ht="16" customHeight="1" thickBot="1" x14ac:dyDescent="0.25">
      <c r="A5" s="2"/>
      <c r="B5" s="52" t="s">
        <v>0</v>
      </c>
      <c r="C5" s="53">
        <f>SUM(C3:C4)</f>
        <v>9229</v>
      </c>
      <c r="D5" s="11" t="s">
        <v>9</v>
      </c>
      <c r="E5" s="9">
        <v>2000</v>
      </c>
      <c r="F5" s="52" t="s">
        <v>0</v>
      </c>
      <c r="G5" s="53">
        <f>SUM(G3:G4)</f>
        <v>5100</v>
      </c>
      <c r="H5" s="2"/>
      <c r="I5" s="2"/>
      <c r="J5" s="2"/>
      <c r="K5" s="2"/>
    </row>
    <row r="6" spans="1:11" ht="16" x14ac:dyDescent="0.2">
      <c r="A6" s="2"/>
      <c r="B6" s="5" t="s">
        <v>21</v>
      </c>
      <c r="C6" s="30"/>
      <c r="D6" s="11" t="s">
        <v>10</v>
      </c>
      <c r="E6" s="9">
        <v>2250</v>
      </c>
      <c r="F6" s="43" t="s">
        <v>21</v>
      </c>
      <c r="G6" s="30"/>
      <c r="H6" s="2"/>
      <c r="I6" s="2"/>
      <c r="J6" s="2"/>
      <c r="K6" s="2"/>
    </row>
    <row r="7" spans="1:11" ht="16" x14ac:dyDescent="0.2">
      <c r="A7" s="2"/>
      <c r="B7" s="7" t="s">
        <v>31</v>
      </c>
      <c r="C7" s="31">
        <v>3555</v>
      </c>
      <c r="D7" s="11" t="s">
        <v>11</v>
      </c>
      <c r="E7" s="9">
        <v>2700</v>
      </c>
      <c r="F7" s="7" t="s">
        <v>31</v>
      </c>
      <c r="G7" s="31">
        <v>1580</v>
      </c>
      <c r="H7" s="2"/>
      <c r="I7" s="2"/>
      <c r="J7" s="2"/>
      <c r="K7" s="2"/>
    </row>
    <row r="8" spans="1:11" ht="16" x14ac:dyDescent="0.2">
      <c r="A8" s="2"/>
      <c r="B8" s="10" t="s">
        <v>2</v>
      </c>
      <c r="C8" s="35">
        <v>200</v>
      </c>
      <c r="D8" s="11" t="s">
        <v>12</v>
      </c>
      <c r="E8" s="9">
        <v>3105</v>
      </c>
      <c r="F8" s="44" t="s">
        <v>2</v>
      </c>
      <c r="G8" s="35">
        <v>200</v>
      </c>
      <c r="H8" s="2"/>
      <c r="I8" s="2"/>
      <c r="J8" s="2"/>
      <c r="K8" s="2"/>
    </row>
    <row r="9" spans="1:11" ht="16" x14ac:dyDescent="0.2">
      <c r="A9" s="2"/>
      <c r="B9" s="12" t="s">
        <v>3</v>
      </c>
      <c r="C9" s="35">
        <v>100</v>
      </c>
      <c r="D9" s="11" t="s">
        <v>13</v>
      </c>
      <c r="E9" s="9">
        <v>3600</v>
      </c>
      <c r="F9" s="45" t="s">
        <v>3</v>
      </c>
      <c r="G9" s="35">
        <v>100</v>
      </c>
      <c r="H9" s="2"/>
      <c r="I9" s="2"/>
      <c r="J9" s="2"/>
      <c r="K9" s="2"/>
    </row>
    <row r="10" spans="1:11" ht="16" x14ac:dyDescent="0.2">
      <c r="A10" s="2"/>
      <c r="B10" s="13" t="s">
        <v>60</v>
      </c>
      <c r="C10" s="35"/>
      <c r="D10" s="11" t="s">
        <v>14</v>
      </c>
      <c r="E10" s="9">
        <v>3750</v>
      </c>
      <c r="F10" s="46" t="s">
        <v>19</v>
      </c>
      <c r="G10" s="14"/>
      <c r="H10" s="2"/>
      <c r="I10" s="2"/>
      <c r="J10" s="2"/>
      <c r="K10" s="2"/>
    </row>
    <row r="11" spans="1:11" ht="16" x14ac:dyDescent="0.2">
      <c r="A11" s="2"/>
      <c r="B11" s="12" t="s">
        <v>27</v>
      </c>
      <c r="C11" s="35"/>
      <c r="D11" s="11" t="s">
        <v>15</v>
      </c>
      <c r="E11" s="9">
        <v>4500</v>
      </c>
      <c r="F11" s="45" t="s">
        <v>27</v>
      </c>
      <c r="G11" s="35"/>
      <c r="H11" s="2"/>
      <c r="I11" s="2"/>
      <c r="J11" s="2"/>
      <c r="K11" s="2"/>
    </row>
    <row r="12" spans="1:11" ht="16" x14ac:dyDescent="0.2">
      <c r="A12" s="2"/>
      <c r="B12" s="15" t="s">
        <v>62</v>
      </c>
      <c r="C12" s="36">
        <f>(SUM(C7:C11)+C5)*0.035+180</f>
        <v>637.94000000000005</v>
      </c>
      <c r="D12" s="11" t="s">
        <v>16</v>
      </c>
      <c r="E12" s="9">
        <v>6300</v>
      </c>
      <c r="F12" s="15" t="s">
        <v>33</v>
      </c>
      <c r="G12" s="36">
        <f>(SUM(G7:G11)+G5)*0.035</f>
        <v>244.3</v>
      </c>
      <c r="H12" s="2"/>
      <c r="I12" s="2"/>
      <c r="J12" s="2"/>
      <c r="K12" s="2"/>
    </row>
    <row r="13" spans="1:11" ht="16" customHeight="1" thickBot="1" x14ac:dyDescent="0.25">
      <c r="A13" s="2"/>
      <c r="B13" s="25" t="s">
        <v>40</v>
      </c>
      <c r="C13" s="23">
        <f>SUM(C7:C12)</f>
        <v>4492.9400000000005</v>
      </c>
      <c r="D13" s="11" t="s">
        <v>17</v>
      </c>
      <c r="E13" s="9">
        <v>6480</v>
      </c>
      <c r="F13" s="25" t="s">
        <v>40</v>
      </c>
      <c r="G13" s="23">
        <f>SUM(G7:G12)</f>
        <v>2124.3000000000002</v>
      </c>
      <c r="H13" s="2"/>
      <c r="I13" s="2"/>
      <c r="J13" s="2"/>
      <c r="K13" s="2"/>
    </row>
    <row r="14" spans="1:11" ht="16" customHeight="1" thickBot="1" x14ac:dyDescent="0.25">
      <c r="A14" s="2"/>
      <c r="B14" s="37" t="s">
        <v>41</v>
      </c>
      <c r="C14" s="38">
        <f>C13+C5</f>
        <v>13721.94</v>
      </c>
      <c r="D14" s="6"/>
      <c r="E14" s="6"/>
      <c r="F14" s="47" t="s">
        <v>36</v>
      </c>
      <c r="G14" s="48">
        <f>G13+G5</f>
        <v>7224.3</v>
      </c>
      <c r="H14" s="2"/>
      <c r="I14" s="2"/>
      <c r="J14" s="2"/>
      <c r="K14" s="2"/>
    </row>
    <row r="15" spans="1:11" ht="16" x14ac:dyDescent="0.2">
      <c r="A15" s="2"/>
      <c r="B15" s="5" t="s">
        <v>42</v>
      </c>
      <c r="C15" s="3"/>
      <c r="D15" s="6"/>
      <c r="E15" s="6"/>
      <c r="F15" s="5" t="s">
        <v>42</v>
      </c>
      <c r="G15" s="3"/>
      <c r="H15" s="2"/>
      <c r="I15" s="2"/>
      <c r="J15" s="2"/>
      <c r="K15" s="2"/>
    </row>
    <row r="16" spans="1:11" ht="16" x14ac:dyDescent="0.2">
      <c r="A16" s="2"/>
      <c r="B16" s="13" t="s">
        <v>35</v>
      </c>
      <c r="C16" s="56">
        <v>500</v>
      </c>
      <c r="D16" s="6"/>
      <c r="E16" s="6"/>
      <c r="F16" s="13" t="s">
        <v>39</v>
      </c>
      <c r="G16" s="56">
        <v>500</v>
      </c>
      <c r="H16" s="2"/>
      <c r="I16" s="2"/>
      <c r="J16" s="2"/>
      <c r="K16" s="2"/>
    </row>
    <row r="17" spans="1:11" ht="16" x14ac:dyDescent="0.2">
      <c r="A17" s="2"/>
      <c r="B17" s="18" t="s">
        <v>29</v>
      </c>
      <c r="C17" s="57">
        <v>2300</v>
      </c>
      <c r="D17" s="6" t="s">
        <v>59</v>
      </c>
      <c r="E17" s="6"/>
      <c r="F17" s="18" t="s">
        <v>38</v>
      </c>
      <c r="G17" s="57">
        <v>1200</v>
      </c>
      <c r="H17" s="2"/>
      <c r="I17" s="2"/>
      <c r="J17" s="2"/>
      <c r="K17" s="2"/>
    </row>
    <row r="18" spans="1:11" ht="16" x14ac:dyDescent="0.2">
      <c r="A18" s="2"/>
      <c r="B18" s="10" t="s">
        <v>43</v>
      </c>
      <c r="C18" s="33"/>
      <c r="D18" s="6"/>
      <c r="E18" s="6"/>
      <c r="F18" s="10" t="s">
        <v>43</v>
      </c>
      <c r="G18" s="59"/>
      <c r="H18" s="2"/>
      <c r="I18" s="2"/>
      <c r="J18" s="2"/>
      <c r="K18" s="2"/>
    </row>
    <row r="19" spans="1:11" ht="16" x14ac:dyDescent="0.2">
      <c r="A19" s="2"/>
      <c r="B19" s="42" t="s">
        <v>32</v>
      </c>
      <c r="C19" s="32"/>
      <c r="D19" s="6" t="s">
        <v>65</v>
      </c>
      <c r="E19" s="6"/>
      <c r="F19" s="42" t="s">
        <v>32</v>
      </c>
      <c r="G19" s="32"/>
      <c r="H19" s="2"/>
      <c r="I19" s="2"/>
      <c r="J19" s="2"/>
      <c r="K19" s="2"/>
    </row>
    <row r="20" spans="1:11" ht="16" x14ac:dyDescent="0.2">
      <c r="A20" s="2"/>
      <c r="B20" s="20" t="s">
        <v>5</v>
      </c>
      <c r="C20" s="21">
        <v>40</v>
      </c>
      <c r="D20" s="6"/>
      <c r="E20" s="6"/>
      <c r="F20" s="10" t="s">
        <v>5</v>
      </c>
      <c r="G20" s="21">
        <v>40</v>
      </c>
      <c r="H20" s="2"/>
      <c r="I20" s="2"/>
      <c r="J20" s="2"/>
      <c r="K20" s="2"/>
    </row>
    <row r="21" spans="1:11" ht="16" x14ac:dyDescent="0.2">
      <c r="A21" s="2"/>
      <c r="B21" s="22" t="s">
        <v>6</v>
      </c>
      <c r="C21" s="21">
        <v>190</v>
      </c>
      <c r="D21" s="6" t="s">
        <v>76</v>
      </c>
      <c r="E21" s="6"/>
      <c r="F21" s="19" t="s">
        <v>6</v>
      </c>
      <c r="G21" s="21">
        <v>0</v>
      </c>
      <c r="H21" s="2"/>
      <c r="I21" s="2"/>
      <c r="J21" s="2"/>
      <c r="K21" s="2"/>
    </row>
    <row r="22" spans="1:11" ht="16" customHeight="1" thickBot="1" x14ac:dyDescent="0.25">
      <c r="A22" s="2"/>
      <c r="B22" s="41" t="s">
        <v>18</v>
      </c>
      <c r="C22" s="24">
        <v>7500</v>
      </c>
      <c r="D22" s="6" t="s">
        <v>77</v>
      </c>
      <c r="E22" s="6"/>
      <c r="F22" s="18" t="s">
        <v>37</v>
      </c>
      <c r="G22" s="34">
        <f>(G5)*0.1+(G5)*1.1*0.2</f>
        <v>1632</v>
      </c>
      <c r="H22" s="2"/>
      <c r="I22" s="2"/>
      <c r="J22" s="2"/>
      <c r="K22" s="2"/>
    </row>
    <row r="23" spans="1:11" ht="16" customHeight="1" thickBot="1" x14ac:dyDescent="0.25">
      <c r="A23" s="2"/>
      <c r="B23" s="39" t="s">
        <v>23</v>
      </c>
      <c r="C23" s="40">
        <f>C14+SUM(C16:C18)+SUM(C20:C22)*C1</f>
        <v>25334.14</v>
      </c>
      <c r="D23" s="6"/>
      <c r="E23" s="6"/>
      <c r="F23" s="49" t="s">
        <v>24</v>
      </c>
      <c r="G23" s="40">
        <f>G14+SUM(G16:G18)+SUM(G20:G22)*G1</f>
        <v>10830.38</v>
      </c>
      <c r="H23" s="2"/>
      <c r="I23" s="2"/>
      <c r="J23" s="2"/>
      <c r="K23" s="2"/>
    </row>
    <row r="24" spans="1:11" ht="90" customHeight="1" thickBot="1" x14ac:dyDescent="0.25">
      <c r="A24" s="2"/>
      <c r="B24" s="79" t="s">
        <v>4</v>
      </c>
      <c r="C24" s="80"/>
      <c r="D24" s="2"/>
      <c r="E24" s="2"/>
      <c r="F24" s="77" t="s">
        <v>4</v>
      </c>
      <c r="G24" s="78"/>
      <c r="H24" s="2"/>
      <c r="I24" s="2"/>
      <c r="J24" s="2"/>
      <c r="K24" s="2"/>
    </row>
    <row r="25" spans="1:11" ht="17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2">
    <mergeCell ref="B24:C24"/>
    <mergeCell ref="F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A0AA-DD52-514E-9FA0-6E0425757E62}">
  <dimension ref="B1:C25"/>
  <sheetViews>
    <sheetView zoomScaleNormal="100" workbookViewId="0">
      <selection activeCell="B12" sqref="B2:C12"/>
    </sheetView>
  </sheetViews>
  <sheetFormatPr baseColWidth="10" defaultRowHeight="13" x14ac:dyDescent="0.15"/>
  <cols>
    <col min="2" max="2" width="61.1640625" bestFit="1" customWidth="1"/>
  </cols>
  <sheetData>
    <row r="1" spans="2:3" ht="17" thickBot="1" x14ac:dyDescent="0.25">
      <c r="B1" s="60" t="s">
        <v>51</v>
      </c>
      <c r="C1" s="62"/>
    </row>
    <row r="2" spans="2:3" ht="16" x14ac:dyDescent="0.15">
      <c r="B2" s="50" t="s">
        <v>57</v>
      </c>
      <c r="C2" s="65">
        <v>18000</v>
      </c>
    </row>
    <row r="3" spans="2:3" ht="16" x14ac:dyDescent="0.15">
      <c r="B3" s="63" t="s">
        <v>21</v>
      </c>
      <c r="C3" s="66"/>
    </row>
    <row r="4" spans="2:3" ht="16" x14ac:dyDescent="0.2">
      <c r="B4" s="13" t="s">
        <v>52</v>
      </c>
      <c r="C4" s="67">
        <v>3750</v>
      </c>
    </row>
    <row r="5" spans="2:3" ht="17" thickBot="1" x14ac:dyDescent="0.25">
      <c r="B5" s="15" t="s">
        <v>53</v>
      </c>
      <c r="C5" s="64">
        <f>C2*0.015+35</f>
        <v>305</v>
      </c>
    </row>
    <row r="6" spans="2:3" ht="17" thickBot="1" x14ac:dyDescent="0.2">
      <c r="B6" s="37" t="s">
        <v>54</v>
      </c>
      <c r="C6" s="38">
        <f>C2+C4+C5</f>
        <v>22055</v>
      </c>
    </row>
    <row r="7" spans="2:3" ht="16" x14ac:dyDescent="0.15">
      <c r="B7" s="5" t="s">
        <v>55</v>
      </c>
      <c r="C7" s="68"/>
    </row>
    <row r="8" spans="2:3" ht="16" x14ac:dyDescent="0.2">
      <c r="B8" s="13" t="s">
        <v>56</v>
      </c>
      <c r="C8" s="69">
        <v>244</v>
      </c>
    </row>
    <row r="9" spans="2:3" ht="16" x14ac:dyDescent="0.15">
      <c r="B9" s="22" t="s">
        <v>6</v>
      </c>
      <c r="C9" s="70">
        <v>253</v>
      </c>
    </row>
    <row r="10" spans="2:3" ht="17" thickBot="1" x14ac:dyDescent="0.25">
      <c r="B10" s="41" t="s">
        <v>18</v>
      </c>
      <c r="C10" s="23">
        <v>1250</v>
      </c>
    </row>
    <row r="11" spans="2:3" ht="17" thickBot="1" x14ac:dyDescent="0.25">
      <c r="B11" s="39" t="s">
        <v>23</v>
      </c>
      <c r="C11" s="38">
        <f>C6+C8+C9+C10</f>
        <v>23802</v>
      </c>
    </row>
    <row r="12" spans="2:3" ht="93" customHeight="1" thickBot="1" x14ac:dyDescent="0.25">
      <c r="B12" s="79" t="s">
        <v>4</v>
      </c>
      <c r="C12" s="80"/>
    </row>
    <row r="14" spans="2:3" ht="19" customHeight="1" x14ac:dyDescent="0.15"/>
    <row r="24" ht="16" customHeight="1" x14ac:dyDescent="0.15"/>
    <row r="25" ht="16" customHeight="1" x14ac:dyDescent="0.15"/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CAEE-27F8-1045-B6B0-00F504BCFFCF}">
  <dimension ref="A1:C22"/>
  <sheetViews>
    <sheetView zoomScale="135" zoomScaleNormal="100" zoomScalePageLayoutView="116" workbookViewId="0">
      <selection activeCell="B17" sqref="A1:B17"/>
    </sheetView>
  </sheetViews>
  <sheetFormatPr baseColWidth="10" defaultRowHeight="13" x14ac:dyDescent="0.15"/>
  <cols>
    <col min="1" max="1" width="54.33203125" customWidth="1"/>
  </cols>
  <sheetData>
    <row r="1" spans="1:3" ht="16" x14ac:dyDescent="0.2">
      <c r="A1" s="50" t="s">
        <v>20</v>
      </c>
      <c r="B1" s="54"/>
      <c r="C1" s="6">
        <v>1.1399999999999999</v>
      </c>
    </row>
    <row r="2" spans="1:3" ht="16" x14ac:dyDescent="0.2">
      <c r="A2" s="27" t="s">
        <v>66</v>
      </c>
      <c r="B2" s="28">
        <v>27400</v>
      </c>
    </row>
    <row r="3" spans="1:3" ht="16" x14ac:dyDescent="0.2">
      <c r="A3" s="10" t="s">
        <v>67</v>
      </c>
      <c r="B3" s="29">
        <v>1200</v>
      </c>
    </row>
    <row r="4" spans="1:3" ht="17" thickBot="1" x14ac:dyDescent="0.25">
      <c r="A4" s="52" t="s">
        <v>0</v>
      </c>
      <c r="B4" s="53">
        <f>SUM(B2:B3)</f>
        <v>28600</v>
      </c>
    </row>
    <row r="5" spans="1:3" ht="16" x14ac:dyDescent="0.15">
      <c r="A5" s="5" t="s">
        <v>21</v>
      </c>
      <c r="B5" s="30"/>
    </row>
    <row r="6" spans="1:3" ht="16" x14ac:dyDescent="0.2">
      <c r="A6" s="13" t="s">
        <v>71</v>
      </c>
      <c r="B6" s="31">
        <v>2300</v>
      </c>
    </row>
    <row r="7" spans="1:3" ht="17" thickBot="1" x14ac:dyDescent="0.25">
      <c r="A7" s="41" t="s">
        <v>72</v>
      </c>
      <c r="B7" s="36">
        <v>3500</v>
      </c>
    </row>
    <row r="8" spans="1:3" ht="17" thickBot="1" x14ac:dyDescent="0.25">
      <c r="A8" s="13" t="s">
        <v>73</v>
      </c>
      <c r="B8" s="31">
        <f>(SUM(B2,B3,B6,B7)*0.03+50)</f>
        <v>1082</v>
      </c>
    </row>
    <row r="9" spans="1:3" ht="17" thickBot="1" x14ac:dyDescent="0.2">
      <c r="A9" s="37" t="s">
        <v>74</v>
      </c>
      <c r="B9" s="38">
        <f>B4+B6+B7+B8</f>
        <v>35482</v>
      </c>
    </row>
    <row r="10" spans="1:3" ht="16" x14ac:dyDescent="0.15">
      <c r="A10" s="42" t="s">
        <v>32</v>
      </c>
      <c r="B10" s="32"/>
    </row>
    <row r="11" spans="1:3" ht="16" x14ac:dyDescent="0.15">
      <c r="A11" s="20" t="s">
        <v>68</v>
      </c>
      <c r="B11" s="21">
        <v>88</v>
      </c>
    </row>
    <row r="12" spans="1:3" ht="16" x14ac:dyDescent="0.15">
      <c r="A12" s="22" t="s">
        <v>69</v>
      </c>
      <c r="B12" s="21">
        <v>147</v>
      </c>
    </row>
    <row r="13" spans="1:3" ht="17" thickBot="1" x14ac:dyDescent="0.25">
      <c r="A13" s="41" t="s">
        <v>70</v>
      </c>
      <c r="B13" s="24">
        <v>94</v>
      </c>
    </row>
    <row r="14" spans="1:3" ht="16" x14ac:dyDescent="0.15">
      <c r="A14" s="20" t="s">
        <v>5</v>
      </c>
      <c r="B14" s="21">
        <v>40</v>
      </c>
    </row>
    <row r="15" spans="1:3" ht="16" x14ac:dyDescent="0.15">
      <c r="A15" s="22" t="s">
        <v>6</v>
      </c>
      <c r="B15" s="21">
        <v>160</v>
      </c>
    </row>
    <row r="16" spans="1:3" ht="16" customHeight="1" thickBot="1" x14ac:dyDescent="0.25">
      <c r="A16" s="41" t="s">
        <v>18</v>
      </c>
      <c r="B16" s="24">
        <v>6875</v>
      </c>
    </row>
    <row r="17" spans="1:2" ht="16" customHeight="1" thickBot="1" x14ac:dyDescent="0.25">
      <c r="A17" s="39" t="s">
        <v>75</v>
      </c>
      <c r="B17" s="40">
        <f>B9+SUM(B11,B12,B13,B14,B15,B16,)*C1</f>
        <v>43922.559999999998</v>
      </c>
    </row>
    <row r="18" spans="1:2" ht="16" customHeight="1" x14ac:dyDescent="0.15">
      <c r="A18" s="71"/>
      <c r="B18" s="72"/>
    </row>
    <row r="19" spans="1:2" ht="16" customHeight="1" x14ac:dyDescent="0.15">
      <c r="A19" s="73"/>
      <c r="B19" s="74"/>
    </row>
    <row r="20" spans="1:2" ht="16" customHeight="1" thickBot="1" x14ac:dyDescent="0.2">
      <c r="A20" s="75"/>
      <c r="B20" s="76"/>
    </row>
    <row r="21" spans="1:2" ht="16" customHeight="1" x14ac:dyDescent="0.15"/>
    <row r="22" spans="1:2" ht="16" customHeight="1" x14ac:dyDescent="0.15"/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ЛИТВА</vt:lpstr>
      <vt:lpstr>ГРУЗИЯ</vt:lpstr>
      <vt:lpstr>Китай</vt:lpstr>
      <vt:lpstr>Корея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2026-04-26T11:40:37Z</dcterms:modified>
</cp:coreProperties>
</file>